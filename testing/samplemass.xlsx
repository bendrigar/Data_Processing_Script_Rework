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conradpritchard/Documents/Colorado School of Mines/Projects/CDPHE Colorado Background PFAS/Results/"/>
    </mc:Choice>
  </mc:AlternateContent>
  <xr:revisionPtr revIDLastSave="0" documentId="13_ncr:1_{69DA652F-6BF2-4447-85EC-181D993A356B}" xr6:coauthVersionLast="47" xr6:coauthVersionMax="47" xr10:uidLastSave="{00000000-0000-0000-0000-000000000000}"/>
  <bookViews>
    <workbookView xWindow="0" yWindow="760" windowWidth="30240" windowHeight="18880" xr2:uid="{B7A0AEB2-7C6D-8445-9141-751A64B10ED6}"/>
  </bookViews>
  <sheets>
    <sheet name="NIS" sheetId="10" r:id="rId1"/>
    <sheet name="All" sheetId="9" r:id="rId2"/>
    <sheet name="20241015_CP_negSPE_CDPHE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1" i="7"/>
  <c r="B52" i="7"/>
</calcChain>
</file>

<file path=xl/sharedStrings.xml><?xml version="1.0" encoding="utf-8"?>
<sst xmlns="http://schemas.openxmlformats.org/spreadsheetml/2006/main" count="356" uniqueCount="223">
  <si>
    <t>Compound</t>
  </si>
  <si>
    <t>NIS Standard</t>
  </si>
  <si>
    <t>Internal Standard</t>
  </si>
  <si>
    <t>10:2 FTCA</t>
  </si>
  <si>
    <t>M6PFDA</t>
  </si>
  <si>
    <t>M10:2FTA</t>
  </si>
  <si>
    <t>7:3 FTCA</t>
  </si>
  <si>
    <t>10:2 UFTCA</t>
  </si>
  <si>
    <t>M10:2FTUA</t>
  </si>
  <si>
    <t>4:2 FTS</t>
  </si>
  <si>
    <t>M3PFHxS</t>
  </si>
  <si>
    <t>M2-4:2FTS</t>
  </si>
  <si>
    <t>3:3 FTCA</t>
  </si>
  <si>
    <t>M5PFHxA</t>
  </si>
  <si>
    <t>M6:2FTA</t>
  </si>
  <si>
    <t>6:2 FTCA</t>
  </si>
  <si>
    <t>6:2 FTS</t>
  </si>
  <si>
    <t>M2-6:2FTS</t>
  </si>
  <si>
    <t>6:2 UFTCA</t>
  </si>
  <si>
    <t>M2PFOA</t>
  </si>
  <si>
    <t>M6:2FTUA</t>
  </si>
  <si>
    <t>5:3 FTCA</t>
  </si>
  <si>
    <t>M8:2FTA</t>
  </si>
  <si>
    <t>8:2 FTCA</t>
  </si>
  <si>
    <t>10:2 FTS</t>
  </si>
  <si>
    <t>M2-8:2FTS</t>
  </si>
  <si>
    <t>8:2 FTS</t>
  </si>
  <si>
    <t>8:2 UFTCA</t>
  </si>
  <si>
    <t>M8:2FTUA</t>
  </si>
  <si>
    <t>PFDA</t>
  </si>
  <si>
    <t>MPFDA</t>
  </si>
  <si>
    <t>PFDoA</t>
  </si>
  <si>
    <t>MPFDoA</t>
  </si>
  <si>
    <t>PFHxA</t>
  </si>
  <si>
    <t>M2PFHxA</t>
  </si>
  <si>
    <t>PFHxDA</t>
  </si>
  <si>
    <t>M2PFHxDA</t>
  </si>
  <si>
    <t>PFODA</t>
  </si>
  <si>
    <t>PFPeS</t>
  </si>
  <si>
    <t>M8PFOS</t>
  </si>
  <si>
    <t>MPFOS</t>
  </si>
  <si>
    <t>PFTeDA</t>
  </si>
  <si>
    <t>M2PFTeDA</t>
  </si>
  <si>
    <t>PFTrDA</t>
  </si>
  <si>
    <t>PFUdA</t>
  </si>
  <si>
    <t>MPFUdA</t>
  </si>
  <si>
    <t>HFPO-DA</t>
  </si>
  <si>
    <t>M3HFPO-DA</t>
  </si>
  <si>
    <t>HFPO-DA_COOH</t>
  </si>
  <si>
    <t>PFEESA</t>
  </si>
  <si>
    <t>PFMBA</t>
  </si>
  <si>
    <t>PFMPA</t>
  </si>
  <si>
    <t>NFDHA</t>
  </si>
  <si>
    <t>PFBS</t>
  </si>
  <si>
    <t>M3PFBS</t>
  </si>
  <si>
    <t>PFPrS</t>
  </si>
  <si>
    <t>PFBA</t>
  </si>
  <si>
    <t>M3PFBA</t>
  </si>
  <si>
    <t>MPFBA</t>
  </si>
  <si>
    <t>PFHpA</t>
  </si>
  <si>
    <t>M4PFHpA</t>
  </si>
  <si>
    <t>PFOA</t>
  </si>
  <si>
    <t>M4PFOA</t>
  </si>
  <si>
    <t>ADONA</t>
  </si>
  <si>
    <t>PFDoS</t>
  </si>
  <si>
    <t>PFEtCHxS</t>
  </si>
  <si>
    <t>PFDS</t>
  </si>
  <si>
    <t>Cl-O-PFNS</t>
  </si>
  <si>
    <t>Cl-O-PFUdS</t>
  </si>
  <si>
    <t>Cl-PFOS</t>
  </si>
  <si>
    <t>PFNS</t>
  </si>
  <si>
    <t>PFOS</t>
  </si>
  <si>
    <t>PFNA</t>
  </si>
  <si>
    <t>M9PFNA</t>
  </si>
  <si>
    <t>M5PFNA</t>
  </si>
  <si>
    <t>PFPeA</t>
  </si>
  <si>
    <t>M5PFPeA</t>
  </si>
  <si>
    <t>FPeSA</t>
  </si>
  <si>
    <t>M8FOSA-I</t>
  </si>
  <si>
    <t>FBSA</t>
  </si>
  <si>
    <t>FHpSA</t>
  </si>
  <si>
    <t>FHxSA</t>
  </si>
  <si>
    <t>FOSA</t>
  </si>
  <si>
    <t>PFHxS</t>
  </si>
  <si>
    <t>MPFHxS</t>
  </si>
  <si>
    <t>PFHpS</t>
  </si>
  <si>
    <t>MeFOSA</t>
  </si>
  <si>
    <t>d-N-MeFOSA-M</t>
  </si>
  <si>
    <t>FOSAA</t>
  </si>
  <si>
    <t>d3-N-MeFOSAA</t>
  </si>
  <si>
    <t>MeFOSAA</t>
  </si>
  <si>
    <t>EtFOSA</t>
  </si>
  <si>
    <t>d-N-EtFOSA-M</t>
  </si>
  <si>
    <t>EtFOSAA</t>
  </si>
  <si>
    <t>d5-N-EtFOSAA</t>
  </si>
  <si>
    <t>NMeFOSE</t>
  </si>
  <si>
    <t>d7-N-MeFOSE-M</t>
  </si>
  <si>
    <t>NEtFOSE</t>
  </si>
  <si>
    <t>d9-N-EtFOSE-M</t>
  </si>
  <si>
    <t>PFBA MRM</t>
  </si>
  <si>
    <t>MPFBA MRM</t>
  </si>
  <si>
    <t>PFPrA</t>
  </si>
  <si>
    <t>TFA</t>
  </si>
  <si>
    <t>MTFA</t>
  </si>
  <si>
    <t>ASV Name</t>
  </si>
  <si>
    <t>Total water volume (mL)</t>
  </si>
  <si>
    <t>ASFB</t>
  </si>
  <si>
    <t>SKBG2</t>
  </si>
  <si>
    <t>SKBG3</t>
  </si>
  <si>
    <t>SKAS1</t>
  </si>
  <si>
    <t>SKAS2</t>
  </si>
  <si>
    <t>SKAS3</t>
  </si>
  <si>
    <t>SKAS4</t>
  </si>
  <si>
    <t>SKAS5</t>
  </si>
  <si>
    <t>SKAS6</t>
  </si>
  <si>
    <t>SKSL1</t>
  </si>
  <si>
    <t>SKSL2</t>
  </si>
  <si>
    <t>SBFB</t>
  </si>
  <si>
    <t>SKSB1</t>
  </si>
  <si>
    <t>SKSB2</t>
  </si>
  <si>
    <t>SKSB3</t>
  </si>
  <si>
    <t>SKSB4</t>
  </si>
  <si>
    <t>SKSB5</t>
  </si>
  <si>
    <t>SKSB6</t>
  </si>
  <si>
    <t>SKSB7</t>
  </si>
  <si>
    <t>SKSB8</t>
  </si>
  <si>
    <t>MB1</t>
  </si>
  <si>
    <t>LLCS1</t>
  </si>
  <si>
    <t>LCS1</t>
  </si>
  <si>
    <t>EL1</t>
  </si>
  <si>
    <t>EL2</t>
  </si>
  <si>
    <t>EL3</t>
  </si>
  <si>
    <t>EL4</t>
  </si>
  <si>
    <t>EL5</t>
  </si>
  <si>
    <t>EL6</t>
  </si>
  <si>
    <t>EL7</t>
  </si>
  <si>
    <t>WP1</t>
  </si>
  <si>
    <t>WP2</t>
  </si>
  <si>
    <t>WP3</t>
  </si>
  <si>
    <t>WP4</t>
  </si>
  <si>
    <t>WP5</t>
  </si>
  <si>
    <t>WP6</t>
  </si>
  <si>
    <t>WP7</t>
  </si>
  <si>
    <t>WP8</t>
  </si>
  <si>
    <t>WP9</t>
  </si>
  <si>
    <t>WP10</t>
  </si>
  <si>
    <t>SM1</t>
  </si>
  <si>
    <t>L1</t>
  </si>
  <si>
    <t>L2</t>
  </si>
  <si>
    <t>L3</t>
  </si>
  <si>
    <t>MB2</t>
  </si>
  <si>
    <t>LLCS2</t>
  </si>
  <si>
    <t>LCS2</t>
  </si>
  <si>
    <t>LCLKTR1</t>
  </si>
  <si>
    <t>LCLKTR2</t>
  </si>
  <si>
    <t>LCLKTR3</t>
  </si>
  <si>
    <t>LCLKTR4</t>
  </si>
  <si>
    <t>LCLKBS1</t>
  </si>
  <si>
    <t>FTMCK1</t>
  </si>
  <si>
    <t>FTMBS1</t>
  </si>
  <si>
    <t>FDR3</t>
  </si>
  <si>
    <t>FDR2</t>
  </si>
  <si>
    <t>FDBS1</t>
  </si>
  <si>
    <t>MB3</t>
  </si>
  <si>
    <t>LLCS3</t>
  </si>
  <si>
    <t>LCS3</t>
  </si>
  <si>
    <t>sample</t>
  </si>
  <si>
    <t>mass (g)</t>
  </si>
  <si>
    <t>moisture fraction</t>
  </si>
  <si>
    <t>matrix</t>
  </si>
  <si>
    <t>'Blank Check Initial'</t>
  </si>
  <si>
    <t>water</t>
  </si>
  <si>
    <t>'ASFB'</t>
  </si>
  <si>
    <t>'SKBG2'</t>
  </si>
  <si>
    <t>'SKBG3'</t>
  </si>
  <si>
    <t>'SKAS1'</t>
  </si>
  <si>
    <t>'SKAS2'</t>
  </si>
  <si>
    <t>'SKAS3'</t>
  </si>
  <si>
    <t>'SKAS4'</t>
  </si>
  <si>
    <t>'SKAS5'</t>
  </si>
  <si>
    <t>'SKAS6'</t>
  </si>
  <si>
    <t>'SKSL1'</t>
  </si>
  <si>
    <t>'SKSL2'</t>
  </si>
  <si>
    <t>'SBFB'</t>
  </si>
  <si>
    <t>'SKSB1'</t>
  </si>
  <si>
    <t>'SKSB2'</t>
  </si>
  <si>
    <t>'SKSB3'</t>
  </si>
  <si>
    <t>'SKSB4'</t>
  </si>
  <si>
    <t>'SKSB5'</t>
  </si>
  <si>
    <t>'SKSB6'</t>
  </si>
  <si>
    <t>'SKSB7'</t>
  </si>
  <si>
    <t>'SKSB8'</t>
  </si>
  <si>
    <t>'EL1'</t>
  </si>
  <si>
    <t>'EL2'</t>
  </si>
  <si>
    <t>'EL3'</t>
  </si>
  <si>
    <t>'EL4'</t>
  </si>
  <si>
    <t>'EL5'</t>
  </si>
  <si>
    <t>'EL6'</t>
  </si>
  <si>
    <t>'EL7'</t>
  </si>
  <si>
    <t>'WP1'</t>
  </si>
  <si>
    <t>'WP2'</t>
  </si>
  <si>
    <t>'WP3'</t>
  </si>
  <si>
    <t>'WP4'</t>
  </si>
  <si>
    <t>'WP5'</t>
  </si>
  <si>
    <t>'WP6'</t>
  </si>
  <si>
    <t>'WP7'</t>
  </si>
  <si>
    <t>'WP8'</t>
  </si>
  <si>
    <t>'WP9'</t>
  </si>
  <si>
    <t>'WP10'</t>
  </si>
  <si>
    <t>'SM1'</t>
  </si>
  <si>
    <t>'L1'</t>
  </si>
  <si>
    <t>'L2'</t>
  </si>
  <si>
    <t>'L3'</t>
  </si>
  <si>
    <t>'LCLKTR1'</t>
  </si>
  <si>
    <t>'LCLKTR2'</t>
  </si>
  <si>
    <t>'LCLKTR3'</t>
  </si>
  <si>
    <t>'LCLKTR4'</t>
  </si>
  <si>
    <t>'LCLKBS1'</t>
  </si>
  <si>
    <t>'FTMCK1'</t>
  </si>
  <si>
    <t>'FTM_BS1'</t>
  </si>
  <si>
    <t>'FDR3'</t>
  </si>
  <si>
    <t>'FDR2'</t>
  </si>
  <si>
    <t>'FD_BS1'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</si>
</sst>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3" fillId="0" borderId="2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D98E-7FCF-8C4D-BA2B-A9535E8A1950}">
  <dimension ref="A1:F62"/>
  <sheetViews>
    <sheetView tabSelected="1" workbookViewId="0">
      <selection activeCell="E19" sqref="E19"/>
    </sheetView>
  </sheetViews>
  <sheetFormatPr defaultColWidth="11" defaultRowHeight="15.95"/>
  <sheetData>
    <row r="1" spans="1:6">
      <c r="A1" s="7" t="s">
        <v>0</v>
      </c>
      <c r="B1" s="7" t="s">
        <v>1</v>
      </c>
      <c r="C1" s="7" t="s">
        <v>2</v>
      </c>
      <c r="D1" s="7"/>
      <c r="E1" s="7"/>
      <c r="F1" s="7"/>
    </row>
    <row r="2" spans="1:6">
      <c r="A2" s="7" t="s">
        <v>3</v>
      </c>
      <c r="B2" s="7" t="s">
        <v>4</v>
      </c>
      <c r="C2" s="7" t="s">
        <v>5</v>
      </c>
      <c r="D2" s="7"/>
      <c r="E2" s="7"/>
      <c r="F2" s="7"/>
    </row>
    <row r="3" spans="1:6">
      <c r="A3" s="7" t="s">
        <v>6</v>
      </c>
      <c r="B3" s="7" t="s">
        <v>4</v>
      </c>
      <c r="C3" s="7" t="s">
        <v>5</v>
      </c>
      <c r="D3" s="7"/>
      <c r="E3" s="7"/>
      <c r="F3" s="7"/>
    </row>
    <row r="4" spans="1:6">
      <c r="A4" s="7" t="s">
        <v>7</v>
      </c>
      <c r="B4" s="7" t="s">
        <v>4</v>
      </c>
      <c r="C4" s="7" t="s">
        <v>8</v>
      </c>
      <c r="D4" s="7"/>
      <c r="E4" s="7"/>
      <c r="F4" s="7"/>
    </row>
    <row r="5" spans="1:6">
      <c r="A5" s="7" t="s">
        <v>9</v>
      </c>
      <c r="B5" s="7" t="s">
        <v>10</v>
      </c>
      <c r="C5" s="7" t="s">
        <v>11</v>
      </c>
      <c r="D5" s="7"/>
      <c r="E5" s="7"/>
      <c r="F5" s="7"/>
    </row>
    <row r="6" spans="1:6">
      <c r="A6" s="7" t="s">
        <v>12</v>
      </c>
      <c r="B6" s="7" t="s">
        <v>13</v>
      </c>
      <c r="C6" s="7" t="s">
        <v>14</v>
      </c>
      <c r="D6" s="7"/>
      <c r="E6" s="7"/>
      <c r="F6" s="7"/>
    </row>
    <row r="7" spans="1:6">
      <c r="A7" s="7" t="s">
        <v>15</v>
      </c>
      <c r="B7" s="7" t="s">
        <v>13</v>
      </c>
      <c r="C7" s="7" t="s">
        <v>14</v>
      </c>
      <c r="D7" s="7"/>
      <c r="E7" s="7"/>
      <c r="F7" s="7"/>
    </row>
    <row r="8" spans="1:6">
      <c r="A8" s="7" t="s">
        <v>16</v>
      </c>
      <c r="B8" s="7" t="s">
        <v>10</v>
      </c>
      <c r="C8" s="7" t="s">
        <v>17</v>
      </c>
      <c r="D8" s="7"/>
      <c r="E8" s="7"/>
      <c r="F8" s="7"/>
    </row>
    <row r="9" spans="1:6">
      <c r="A9" s="7" t="s">
        <v>18</v>
      </c>
      <c r="B9" s="7" t="s">
        <v>19</v>
      </c>
      <c r="C9" s="7" t="s">
        <v>20</v>
      </c>
      <c r="D9" s="7"/>
      <c r="E9" s="7"/>
      <c r="F9" s="7"/>
    </row>
    <row r="10" spans="1:6">
      <c r="A10" s="7" t="s">
        <v>21</v>
      </c>
      <c r="B10" s="7" t="s">
        <v>19</v>
      </c>
      <c r="C10" s="7" t="s">
        <v>22</v>
      </c>
      <c r="D10" s="7"/>
      <c r="E10" s="7"/>
      <c r="F10" s="7"/>
    </row>
    <row r="11" spans="1:6">
      <c r="A11" s="7" t="s">
        <v>23</v>
      </c>
      <c r="B11" s="7" t="s">
        <v>19</v>
      </c>
      <c r="C11" s="7" t="s">
        <v>22</v>
      </c>
      <c r="D11" s="7"/>
      <c r="E11" s="7"/>
      <c r="F11" s="7"/>
    </row>
    <row r="12" spans="1:6">
      <c r="A12" s="7" t="s">
        <v>24</v>
      </c>
      <c r="B12" s="7" t="s">
        <v>10</v>
      </c>
      <c r="C12" s="7" t="s">
        <v>25</v>
      </c>
      <c r="D12" s="7"/>
      <c r="E12" s="7"/>
      <c r="F12" s="7"/>
    </row>
    <row r="13" spans="1:6">
      <c r="A13" s="7" t="s">
        <v>26</v>
      </c>
      <c r="B13" s="7" t="s">
        <v>10</v>
      </c>
      <c r="C13" s="7" t="s">
        <v>25</v>
      </c>
      <c r="D13" s="7"/>
      <c r="E13" s="7"/>
      <c r="F13" s="7"/>
    </row>
    <row r="14" spans="1:6">
      <c r="A14" s="7" t="s">
        <v>27</v>
      </c>
      <c r="B14" s="7" t="s">
        <v>4</v>
      </c>
      <c r="C14" s="7" t="s">
        <v>28</v>
      </c>
      <c r="D14" s="7"/>
      <c r="E14" s="7"/>
      <c r="F14" s="7"/>
    </row>
    <row r="15" spans="1:6">
      <c r="A15" s="7" t="s">
        <v>29</v>
      </c>
      <c r="B15" s="7" t="s">
        <v>4</v>
      </c>
      <c r="C15" s="7" t="s">
        <v>30</v>
      </c>
      <c r="D15" s="7"/>
      <c r="E15" s="7"/>
      <c r="F15" s="7"/>
    </row>
    <row r="16" spans="1:6">
      <c r="A16" s="7" t="s">
        <v>31</v>
      </c>
      <c r="B16" s="7" t="s">
        <v>4</v>
      </c>
      <c r="C16" s="7" t="s">
        <v>32</v>
      </c>
      <c r="D16" s="7"/>
      <c r="E16" s="7"/>
      <c r="F16" s="7"/>
    </row>
    <row r="17" spans="1:6">
      <c r="A17" s="7" t="s">
        <v>33</v>
      </c>
      <c r="B17" s="7" t="s">
        <v>13</v>
      </c>
      <c r="C17" s="7" t="s">
        <v>34</v>
      </c>
      <c r="D17" s="7"/>
      <c r="E17" s="7"/>
      <c r="F17" s="7"/>
    </row>
    <row r="18" spans="1:6">
      <c r="A18" s="7" t="s">
        <v>35</v>
      </c>
      <c r="B18" s="7" t="s">
        <v>4</v>
      </c>
      <c r="C18" s="7" t="s">
        <v>36</v>
      </c>
      <c r="D18" s="7"/>
      <c r="E18" s="7"/>
      <c r="F18" s="7"/>
    </row>
    <row r="19" spans="1:6">
      <c r="A19" s="7" t="s">
        <v>37</v>
      </c>
      <c r="B19" s="7" t="s">
        <v>4</v>
      </c>
      <c r="C19" s="7" t="s">
        <v>36</v>
      </c>
      <c r="D19" s="7"/>
      <c r="E19" s="7"/>
      <c r="F19" s="7"/>
    </row>
    <row r="20" spans="1:6">
      <c r="A20" s="9" t="s">
        <v>38</v>
      </c>
      <c r="B20" s="7" t="s">
        <v>39</v>
      </c>
      <c r="C20" s="7" t="s">
        <v>40</v>
      </c>
      <c r="D20" s="7"/>
      <c r="E20" s="7"/>
      <c r="F20" s="7"/>
    </row>
    <row r="21" spans="1:6">
      <c r="A21" s="7" t="s">
        <v>41</v>
      </c>
      <c r="B21" s="7" t="s">
        <v>4</v>
      </c>
      <c r="C21" s="7" t="s">
        <v>42</v>
      </c>
      <c r="D21" s="7"/>
      <c r="E21" s="7"/>
      <c r="F21" s="7"/>
    </row>
    <row r="22" spans="1:6">
      <c r="A22" s="7" t="s">
        <v>43</v>
      </c>
      <c r="B22" s="7" t="s">
        <v>4</v>
      </c>
      <c r="C22" s="7" t="s">
        <v>42</v>
      </c>
      <c r="D22" s="7"/>
      <c r="E22" s="7"/>
      <c r="F22" s="7"/>
    </row>
    <row r="23" spans="1:6">
      <c r="A23" s="7" t="s">
        <v>44</v>
      </c>
      <c r="B23" s="7" t="s">
        <v>4</v>
      </c>
      <c r="C23" s="7" t="s">
        <v>45</v>
      </c>
      <c r="D23" s="7"/>
      <c r="E23" s="7"/>
      <c r="F23" s="7"/>
    </row>
    <row r="24" spans="1:6">
      <c r="A24" s="7" t="s">
        <v>46</v>
      </c>
      <c r="B24" s="7" t="s">
        <v>13</v>
      </c>
      <c r="C24" s="7" t="s">
        <v>47</v>
      </c>
      <c r="D24" s="7"/>
      <c r="E24" s="7"/>
      <c r="F24" s="7"/>
    </row>
    <row r="25" spans="1:6">
      <c r="A25" s="7" t="s">
        <v>48</v>
      </c>
      <c r="B25" s="7" t="s">
        <v>13</v>
      </c>
      <c r="C25" s="7" t="s">
        <v>47</v>
      </c>
      <c r="D25" s="7"/>
      <c r="E25" s="7"/>
      <c r="F25" s="7"/>
    </row>
    <row r="26" spans="1:6">
      <c r="A26" s="7" t="s">
        <v>49</v>
      </c>
      <c r="B26" s="7" t="s">
        <v>13</v>
      </c>
      <c r="C26" s="7" t="s">
        <v>47</v>
      </c>
      <c r="D26" s="7"/>
      <c r="E26" s="7"/>
      <c r="F26" s="7"/>
    </row>
    <row r="27" spans="1:6">
      <c r="A27" s="7" t="s">
        <v>50</v>
      </c>
      <c r="B27" s="7" t="s">
        <v>13</v>
      </c>
      <c r="C27" s="7" t="s">
        <v>47</v>
      </c>
      <c r="D27" s="7"/>
      <c r="E27" s="7"/>
      <c r="F27" s="7"/>
    </row>
    <row r="28" spans="1:6">
      <c r="A28" s="7" t="s">
        <v>51</v>
      </c>
      <c r="B28" s="7" t="s">
        <v>13</v>
      </c>
      <c r="C28" s="7" t="s">
        <v>47</v>
      </c>
      <c r="D28" s="7"/>
      <c r="E28" s="7"/>
      <c r="F28" s="7"/>
    </row>
    <row r="29" spans="1:6">
      <c r="A29" s="7" t="s">
        <v>52</v>
      </c>
      <c r="B29" s="7" t="s">
        <v>13</v>
      </c>
      <c r="C29" s="7" t="s">
        <v>47</v>
      </c>
      <c r="D29" s="7"/>
      <c r="E29" s="7"/>
      <c r="F29" s="7"/>
    </row>
    <row r="30" spans="1:6">
      <c r="A30" s="7" t="s">
        <v>53</v>
      </c>
      <c r="B30" s="7" t="s">
        <v>10</v>
      </c>
      <c r="C30" s="7" t="s">
        <v>54</v>
      </c>
      <c r="D30" s="7"/>
      <c r="E30" s="7"/>
      <c r="F30" s="7"/>
    </row>
    <row r="31" spans="1:6">
      <c r="A31" s="7" t="s">
        <v>55</v>
      </c>
      <c r="B31" s="7" t="s">
        <v>10</v>
      </c>
      <c r="C31" s="7" t="s">
        <v>54</v>
      </c>
      <c r="D31" s="7"/>
      <c r="E31" s="7"/>
      <c r="F31" s="7"/>
    </row>
    <row r="32" spans="1:6">
      <c r="A32" s="7" t="s">
        <v>56</v>
      </c>
      <c r="B32" s="7" t="s">
        <v>57</v>
      </c>
      <c r="C32" s="7" t="s">
        <v>58</v>
      </c>
      <c r="D32" s="7"/>
      <c r="E32" s="7"/>
      <c r="F32" s="7"/>
    </row>
    <row r="33" spans="1:6">
      <c r="A33" s="7" t="s">
        <v>59</v>
      </c>
      <c r="B33" s="7" t="s">
        <v>13</v>
      </c>
      <c r="C33" s="7" t="s">
        <v>60</v>
      </c>
      <c r="D33" s="7"/>
      <c r="E33" s="7"/>
      <c r="F33" s="7"/>
    </row>
    <row r="34" spans="1:6">
      <c r="A34" s="7" t="s">
        <v>61</v>
      </c>
      <c r="B34" s="7" t="s">
        <v>19</v>
      </c>
      <c r="C34" s="7" t="s">
        <v>62</v>
      </c>
      <c r="D34" s="7"/>
      <c r="E34" s="7"/>
      <c r="F34" s="7"/>
    </row>
    <row r="35" spans="1:6">
      <c r="A35" s="7" t="s">
        <v>63</v>
      </c>
      <c r="B35" s="7" t="s">
        <v>19</v>
      </c>
      <c r="C35" s="7" t="s">
        <v>62</v>
      </c>
      <c r="D35" s="7"/>
      <c r="E35" s="7"/>
      <c r="F35" s="8"/>
    </row>
    <row r="36" spans="1:6">
      <c r="A36" s="7" t="s">
        <v>64</v>
      </c>
      <c r="B36" s="7" t="s">
        <v>39</v>
      </c>
      <c r="C36" s="7" t="s">
        <v>40</v>
      </c>
      <c r="D36" s="7"/>
      <c r="E36" s="7"/>
      <c r="F36" s="7"/>
    </row>
    <row r="37" spans="1:6">
      <c r="A37" s="7" t="s">
        <v>65</v>
      </c>
      <c r="B37" s="7" t="s">
        <v>39</v>
      </c>
      <c r="C37" s="7" t="s">
        <v>40</v>
      </c>
      <c r="D37" s="7"/>
      <c r="E37" s="7"/>
      <c r="F37" s="7"/>
    </row>
    <row r="38" spans="1:6">
      <c r="A38" s="7" t="s">
        <v>66</v>
      </c>
      <c r="B38" s="7" t="s">
        <v>39</v>
      </c>
      <c r="C38" s="7" t="s">
        <v>40</v>
      </c>
      <c r="D38" s="7"/>
      <c r="E38" s="7"/>
      <c r="F38" s="7"/>
    </row>
    <row r="39" spans="1:6">
      <c r="A39" s="7" t="s">
        <v>67</v>
      </c>
      <c r="B39" s="7" t="s">
        <v>39</v>
      </c>
      <c r="C39" s="7" t="s">
        <v>40</v>
      </c>
      <c r="D39" s="7"/>
      <c r="E39" s="7"/>
      <c r="F39" s="7"/>
    </row>
    <row r="40" spans="1:6">
      <c r="A40" s="7" t="s">
        <v>68</v>
      </c>
      <c r="B40" s="7" t="s">
        <v>39</v>
      </c>
      <c r="C40" s="7" t="s">
        <v>40</v>
      </c>
      <c r="D40" s="7"/>
      <c r="E40" s="7"/>
      <c r="F40" s="7"/>
    </row>
    <row r="41" spans="1:6">
      <c r="A41" s="7" t="s">
        <v>69</v>
      </c>
      <c r="B41" s="7" t="s">
        <v>39</v>
      </c>
      <c r="C41" s="7" t="s">
        <v>40</v>
      </c>
      <c r="D41" s="7"/>
      <c r="E41" s="7"/>
      <c r="F41" s="7"/>
    </row>
    <row r="42" spans="1:6">
      <c r="A42" s="7" t="s">
        <v>70</v>
      </c>
      <c r="B42" s="7" t="s">
        <v>39</v>
      </c>
      <c r="C42" s="7" t="s">
        <v>40</v>
      </c>
      <c r="D42" s="7"/>
      <c r="E42" s="7"/>
      <c r="F42" s="7"/>
    </row>
    <row r="43" spans="1:6">
      <c r="A43" s="7" t="s">
        <v>71</v>
      </c>
      <c r="B43" s="7" t="s">
        <v>39</v>
      </c>
      <c r="C43" s="7" t="s">
        <v>40</v>
      </c>
      <c r="D43" s="7"/>
      <c r="E43" s="7"/>
      <c r="F43" s="7"/>
    </row>
    <row r="44" spans="1:6">
      <c r="A44" s="7" t="s">
        <v>72</v>
      </c>
      <c r="B44" s="7" t="s">
        <v>73</v>
      </c>
      <c r="C44" s="7" t="s">
        <v>74</v>
      </c>
      <c r="D44" s="7"/>
      <c r="E44" s="7"/>
      <c r="F44" s="7"/>
    </row>
    <row r="45" spans="1:6">
      <c r="A45" s="7" t="s">
        <v>75</v>
      </c>
      <c r="B45" s="7" t="s">
        <v>13</v>
      </c>
      <c r="C45" s="7" t="s">
        <v>76</v>
      </c>
      <c r="D45" s="7"/>
      <c r="E45" s="7"/>
      <c r="F45" s="7"/>
    </row>
    <row r="46" spans="1:6">
      <c r="A46" s="7" t="s">
        <v>77</v>
      </c>
      <c r="B46" s="7" t="s">
        <v>39</v>
      </c>
      <c r="C46" s="7" t="s">
        <v>78</v>
      </c>
      <c r="D46" s="7"/>
      <c r="E46" s="7"/>
      <c r="F46" s="7"/>
    </row>
    <row r="47" spans="1:6">
      <c r="A47" s="7" t="s">
        <v>79</v>
      </c>
      <c r="B47" s="7" t="s">
        <v>39</v>
      </c>
      <c r="C47" s="7" t="s">
        <v>78</v>
      </c>
      <c r="D47" s="7"/>
      <c r="E47" s="7"/>
      <c r="F47" s="7"/>
    </row>
    <row r="48" spans="1:6">
      <c r="A48" s="7" t="s">
        <v>80</v>
      </c>
      <c r="B48" s="7" t="s">
        <v>39</v>
      </c>
      <c r="C48" s="7" t="s">
        <v>78</v>
      </c>
      <c r="D48" s="7"/>
      <c r="E48" s="7"/>
      <c r="F48" s="7"/>
    </row>
    <row r="49" spans="1:6">
      <c r="A49" s="7" t="s">
        <v>81</v>
      </c>
      <c r="B49" s="7" t="s">
        <v>39</v>
      </c>
      <c r="C49" s="7" t="s">
        <v>78</v>
      </c>
      <c r="D49" s="7"/>
      <c r="E49" s="7"/>
      <c r="F49" s="7"/>
    </row>
    <row r="50" spans="1:6">
      <c r="A50" s="7" t="s">
        <v>82</v>
      </c>
      <c r="B50" s="7" t="s">
        <v>39</v>
      </c>
      <c r="C50" s="7" t="s">
        <v>78</v>
      </c>
      <c r="D50" s="7"/>
      <c r="E50" s="7"/>
      <c r="F50" s="7"/>
    </row>
    <row r="51" spans="1:6">
      <c r="A51" s="7" t="s">
        <v>83</v>
      </c>
      <c r="B51" s="7" t="s">
        <v>10</v>
      </c>
      <c r="C51" s="7" t="s">
        <v>84</v>
      </c>
      <c r="D51" s="7"/>
      <c r="E51" s="7"/>
      <c r="F51" s="7"/>
    </row>
    <row r="52" spans="1:6">
      <c r="A52" s="7" t="s">
        <v>85</v>
      </c>
      <c r="B52" s="7" t="s">
        <v>10</v>
      </c>
      <c r="C52" s="7" t="s">
        <v>84</v>
      </c>
      <c r="D52" s="7"/>
      <c r="E52" s="7"/>
      <c r="F52" s="7"/>
    </row>
    <row r="53" spans="1:6">
      <c r="A53" s="7" t="s">
        <v>86</v>
      </c>
      <c r="B53" s="7" t="s">
        <v>39</v>
      </c>
      <c r="C53" s="7" t="s">
        <v>87</v>
      </c>
      <c r="D53" s="7"/>
      <c r="E53" s="7"/>
      <c r="F53" s="7"/>
    </row>
    <row r="54" spans="1:6">
      <c r="A54" s="7" t="s">
        <v>88</v>
      </c>
      <c r="B54" s="7" t="s">
        <v>39</v>
      </c>
      <c r="C54" s="7" t="s">
        <v>89</v>
      </c>
      <c r="D54" s="7"/>
      <c r="E54" s="7"/>
      <c r="F54" s="7"/>
    </row>
    <row r="55" spans="1:6">
      <c r="A55" s="7" t="s">
        <v>90</v>
      </c>
      <c r="B55" s="7" t="s">
        <v>39</v>
      </c>
      <c r="C55" s="7" t="s">
        <v>89</v>
      </c>
      <c r="D55" s="7"/>
      <c r="E55" s="7"/>
      <c r="F55" s="7"/>
    </row>
    <row r="56" spans="1:6">
      <c r="A56" s="7" t="s">
        <v>91</v>
      </c>
      <c r="B56" s="7" t="s">
        <v>39</v>
      </c>
      <c r="C56" s="7" t="s">
        <v>92</v>
      </c>
      <c r="D56" s="7"/>
      <c r="E56" s="7"/>
      <c r="F56" s="7"/>
    </row>
    <row r="57" spans="1:6">
      <c r="A57" s="7" t="s">
        <v>93</v>
      </c>
      <c r="B57" s="7" t="s">
        <v>39</v>
      </c>
      <c r="C57" s="7" t="s">
        <v>94</v>
      </c>
      <c r="D57" s="7"/>
      <c r="E57" s="7"/>
      <c r="F57" s="7"/>
    </row>
    <row r="58" spans="1:6">
      <c r="A58" s="7" t="s">
        <v>95</v>
      </c>
      <c r="B58" s="7" t="s">
        <v>39</v>
      </c>
      <c r="C58" s="7" t="s">
        <v>96</v>
      </c>
      <c r="D58" s="7"/>
      <c r="E58" s="7"/>
      <c r="F58" s="7"/>
    </row>
    <row r="59" spans="1:6">
      <c r="A59" s="7" t="s">
        <v>97</v>
      </c>
      <c r="B59" s="7" t="s">
        <v>39</v>
      </c>
      <c r="C59" s="7" t="s">
        <v>98</v>
      </c>
      <c r="D59" s="7"/>
      <c r="E59" s="7"/>
      <c r="F59" s="7"/>
    </row>
    <row r="60" spans="1:6">
      <c r="A60" s="7" t="s">
        <v>99</v>
      </c>
      <c r="B60" s="7" t="s">
        <v>57</v>
      </c>
      <c r="C60" s="7" t="s">
        <v>100</v>
      </c>
      <c r="D60" s="7"/>
      <c r="E60" s="7"/>
      <c r="F60" s="7"/>
    </row>
    <row r="61" spans="1:6">
      <c r="A61" s="7" t="s">
        <v>101</v>
      </c>
      <c r="B61" s="7" t="s">
        <v>57</v>
      </c>
      <c r="C61" s="7" t="s">
        <v>58</v>
      </c>
      <c r="D61" s="7"/>
      <c r="E61" s="7"/>
      <c r="F61" s="7"/>
    </row>
    <row r="62" spans="1:6">
      <c r="A62" s="7" t="s">
        <v>102</v>
      </c>
      <c r="B62" s="7" t="s">
        <v>57</v>
      </c>
      <c r="C62" s="7" t="s">
        <v>103</v>
      </c>
      <c r="D62" s="7"/>
      <c r="E62" s="7"/>
      <c r="F6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3C5A-4DD9-744C-BD2A-2B52162EBCAB}">
  <dimension ref="A1:B181"/>
  <sheetViews>
    <sheetView topLeftCell="A24" workbookViewId="0">
      <selection activeCell="B58" sqref="B58"/>
    </sheetView>
  </sheetViews>
  <sheetFormatPr defaultColWidth="11" defaultRowHeight="15.95"/>
  <cols>
    <col min="1" max="1" width="24" bestFit="1" customWidth="1"/>
  </cols>
  <sheetData>
    <row r="1" spans="1:2">
      <c r="A1" s="2" t="s">
        <v>104</v>
      </c>
      <c r="B1" s="2" t="s">
        <v>105</v>
      </c>
    </row>
    <row r="2" spans="1:2">
      <c r="A2" s="3" t="s">
        <v>106</v>
      </c>
      <c r="B2" s="3">
        <v>246.7</v>
      </c>
    </row>
    <row r="3" spans="1:2">
      <c r="A3" s="4" t="s">
        <v>107</v>
      </c>
      <c r="B3" s="4">
        <v>244.6</v>
      </c>
    </row>
    <row r="4" spans="1:2">
      <c r="A4" s="4" t="s">
        <v>108</v>
      </c>
      <c r="B4" s="4">
        <v>249.2</v>
      </c>
    </row>
    <row r="5" spans="1:2">
      <c r="A5" s="4" t="s">
        <v>109</v>
      </c>
      <c r="B5" s="4">
        <v>249.1</v>
      </c>
    </row>
    <row r="6" spans="1:2">
      <c r="A6" s="4" t="s">
        <v>110</v>
      </c>
      <c r="B6" s="4">
        <v>242.3</v>
      </c>
    </row>
    <row r="7" spans="1:2">
      <c r="A7" s="4" t="s">
        <v>111</v>
      </c>
      <c r="B7" s="4">
        <v>251.6</v>
      </c>
    </row>
    <row r="8" spans="1:2">
      <c r="A8" s="4" t="s">
        <v>112</v>
      </c>
      <c r="B8" s="4">
        <v>235.6</v>
      </c>
    </row>
    <row r="9" spans="1:2">
      <c r="A9" s="4" t="s">
        <v>113</v>
      </c>
      <c r="B9" s="4">
        <v>254.2</v>
      </c>
    </row>
    <row r="10" spans="1:2">
      <c r="A10" s="4" t="s">
        <v>114</v>
      </c>
      <c r="B10" s="4">
        <v>231.9</v>
      </c>
    </row>
    <row r="11" spans="1:2">
      <c r="A11" s="4" t="s">
        <v>115</v>
      </c>
      <c r="B11" s="4">
        <v>259.39999999999998</v>
      </c>
    </row>
    <row r="12" spans="1:2">
      <c r="A12" s="4" t="s">
        <v>116</v>
      </c>
      <c r="B12" s="4">
        <v>248.5</v>
      </c>
    </row>
    <row r="13" spans="1:2">
      <c r="A13" s="4" t="s">
        <v>117</v>
      </c>
      <c r="B13" s="4">
        <v>250.4</v>
      </c>
    </row>
    <row r="14" spans="1:2">
      <c r="A14" s="4" t="s">
        <v>118</v>
      </c>
      <c r="B14" s="4">
        <v>233.2</v>
      </c>
    </row>
    <row r="15" spans="1:2">
      <c r="A15" s="4" t="s">
        <v>119</v>
      </c>
      <c r="B15" s="4">
        <v>246.5</v>
      </c>
    </row>
    <row r="16" spans="1:2">
      <c r="A16" s="4" t="s">
        <v>120</v>
      </c>
      <c r="B16" s="4">
        <v>252.2</v>
      </c>
    </row>
    <row r="17" spans="1:2">
      <c r="A17" s="4" t="s">
        <v>121</v>
      </c>
      <c r="B17" s="4">
        <v>253.1</v>
      </c>
    </row>
    <row r="18" spans="1:2">
      <c r="A18" s="4" t="s">
        <v>122</v>
      </c>
      <c r="B18" s="4">
        <v>255.4</v>
      </c>
    </row>
    <row r="19" spans="1:2">
      <c r="A19" s="4" t="s">
        <v>123</v>
      </c>
      <c r="B19" s="4">
        <v>255.1</v>
      </c>
    </row>
    <row r="20" spans="1:2">
      <c r="A20" s="4" t="s">
        <v>124</v>
      </c>
      <c r="B20" s="4">
        <v>256.5</v>
      </c>
    </row>
    <row r="21" spans="1:2">
      <c r="A21" s="4" t="s">
        <v>125</v>
      </c>
      <c r="B21" s="4">
        <v>252.1</v>
      </c>
    </row>
    <row r="22" spans="1:2">
      <c r="A22" s="4" t="s">
        <v>126</v>
      </c>
      <c r="B22" s="4">
        <v>234</v>
      </c>
    </row>
    <row r="23" spans="1:2">
      <c r="A23" s="4" t="s">
        <v>127</v>
      </c>
      <c r="B23" s="4">
        <v>239.5</v>
      </c>
    </row>
    <row r="24" spans="1:2">
      <c r="A24" s="5" t="s">
        <v>128</v>
      </c>
      <c r="B24" s="5">
        <v>243.7</v>
      </c>
    </row>
    <row r="25" spans="1:2">
      <c r="A25" s="4" t="s">
        <v>129</v>
      </c>
      <c r="B25" s="4">
        <v>229.2</v>
      </c>
    </row>
    <row r="26" spans="1:2">
      <c r="A26" s="4" t="s">
        <v>130</v>
      </c>
      <c r="B26" s="4">
        <v>250.7</v>
      </c>
    </row>
    <row r="27" spans="1:2">
      <c r="A27" s="4" t="s">
        <v>131</v>
      </c>
      <c r="B27" s="4">
        <v>256.60000000000002</v>
      </c>
    </row>
    <row r="28" spans="1:2">
      <c r="A28" s="4" t="s">
        <v>132</v>
      </c>
      <c r="B28" s="4">
        <v>250</v>
      </c>
    </row>
    <row r="29" spans="1:2">
      <c r="A29" s="4" t="s">
        <v>133</v>
      </c>
      <c r="B29" s="4">
        <v>240.6</v>
      </c>
    </row>
    <row r="30" spans="1:2">
      <c r="A30" s="4" t="s">
        <v>134</v>
      </c>
      <c r="B30" s="4">
        <v>254.2</v>
      </c>
    </row>
    <row r="31" spans="1:2">
      <c r="A31" s="4" t="s">
        <v>135</v>
      </c>
      <c r="B31" s="4">
        <v>251.6</v>
      </c>
    </row>
    <row r="32" spans="1:2">
      <c r="A32" s="4" t="s">
        <v>136</v>
      </c>
      <c r="B32" s="4">
        <v>249</v>
      </c>
    </row>
    <row r="33" spans="1:2">
      <c r="A33" s="4" t="s">
        <v>137</v>
      </c>
      <c r="B33" s="4">
        <v>223</v>
      </c>
    </row>
    <row r="34" spans="1:2">
      <c r="A34" s="4" t="s">
        <v>138</v>
      </c>
      <c r="B34" s="4">
        <v>236.8</v>
      </c>
    </row>
    <row r="35" spans="1:2">
      <c r="A35" s="4" t="s">
        <v>139</v>
      </c>
      <c r="B35" s="4">
        <v>250.8</v>
      </c>
    </row>
    <row r="36" spans="1:2">
      <c r="A36" s="4" t="s">
        <v>140</v>
      </c>
      <c r="B36" s="4">
        <v>243.3</v>
      </c>
    </row>
    <row r="37" spans="1:2">
      <c r="A37" s="4" t="s">
        <v>141</v>
      </c>
      <c r="B37" s="4">
        <v>245</v>
      </c>
    </row>
    <row r="38" spans="1:2">
      <c r="A38" s="4" t="s">
        <v>142</v>
      </c>
      <c r="B38" s="4">
        <v>206.6</v>
      </c>
    </row>
    <row r="39" spans="1:2">
      <c r="A39" s="4" t="s">
        <v>143</v>
      </c>
      <c r="B39" s="4">
        <v>232</v>
      </c>
    </row>
    <row r="40" spans="1:2">
      <c r="A40" s="4" t="s">
        <v>144</v>
      </c>
      <c r="B40" s="4">
        <v>243.5</v>
      </c>
    </row>
    <row r="41" spans="1:2">
      <c r="A41" s="4" t="s">
        <v>145</v>
      </c>
      <c r="B41" s="4">
        <v>238.3</v>
      </c>
    </row>
    <row r="42" spans="1:2">
      <c r="A42" s="4" t="s">
        <v>146</v>
      </c>
      <c r="B42" s="4">
        <v>224.2</v>
      </c>
    </row>
    <row r="43" spans="1:2">
      <c r="A43" s="4" t="s">
        <v>147</v>
      </c>
      <c r="B43" s="4">
        <v>246.4</v>
      </c>
    </row>
    <row r="44" spans="1:2">
      <c r="A44" s="4" t="s">
        <v>148</v>
      </c>
      <c r="B44" s="4">
        <v>248.8</v>
      </c>
    </row>
    <row r="45" spans="1:2">
      <c r="A45" s="4" t="s">
        <v>149</v>
      </c>
      <c r="B45" s="4">
        <v>247</v>
      </c>
    </row>
    <row r="46" spans="1:2">
      <c r="A46" s="4" t="s">
        <v>150</v>
      </c>
      <c r="B46" s="4">
        <v>250.5</v>
      </c>
    </row>
    <row r="47" spans="1:2">
      <c r="A47" s="4" t="s">
        <v>151</v>
      </c>
      <c r="B47" s="4">
        <v>254.6</v>
      </c>
    </row>
    <row r="48" spans="1:2">
      <c r="A48" s="4" t="s">
        <v>152</v>
      </c>
      <c r="B48" s="4">
        <v>238.6</v>
      </c>
    </row>
    <row r="49" spans="1:2">
      <c r="A49" s="3" t="s">
        <v>153</v>
      </c>
      <c r="B49" s="3">
        <v>231.7</v>
      </c>
    </row>
    <row r="50" spans="1:2">
      <c r="A50" s="4" t="s">
        <v>154</v>
      </c>
      <c r="B50" s="4">
        <v>246.8</v>
      </c>
    </row>
    <row r="51" spans="1:2">
      <c r="A51" s="4" t="s">
        <v>155</v>
      </c>
      <c r="B51" s="4">
        <v>228.3</v>
      </c>
    </row>
    <row r="52" spans="1:2">
      <c r="A52" s="4" t="s">
        <v>156</v>
      </c>
      <c r="B52" s="4">
        <v>245.2</v>
      </c>
    </row>
    <row r="53" spans="1:2">
      <c r="A53" s="4" t="s">
        <v>157</v>
      </c>
      <c r="B53" s="4">
        <v>243.7</v>
      </c>
    </row>
    <row r="54" spans="1:2">
      <c r="A54" s="4" t="s">
        <v>158</v>
      </c>
      <c r="B54" s="4">
        <v>232.2</v>
      </c>
    </row>
    <row r="55" spans="1:2">
      <c r="A55" s="4" t="s">
        <v>159</v>
      </c>
      <c r="B55" s="4">
        <v>231.4</v>
      </c>
    </row>
    <row r="56" spans="1:2">
      <c r="A56" s="4" t="s">
        <v>160</v>
      </c>
      <c r="B56" s="4">
        <v>229.4</v>
      </c>
    </row>
    <row r="57" spans="1:2">
      <c r="A57" s="4" t="s">
        <v>161</v>
      </c>
      <c r="B57" s="4">
        <v>235.4</v>
      </c>
    </row>
    <row r="58" spans="1:2">
      <c r="A58" s="4" t="s">
        <v>162</v>
      </c>
      <c r="B58" s="4">
        <v>243.3</v>
      </c>
    </row>
    <row r="59" spans="1:2">
      <c r="A59" s="4" t="s">
        <v>163</v>
      </c>
      <c r="B59" s="4">
        <v>252.9</v>
      </c>
    </row>
    <row r="60" spans="1:2">
      <c r="A60" s="4" t="s">
        <v>164</v>
      </c>
      <c r="B60" s="4">
        <v>251.6</v>
      </c>
    </row>
    <row r="61" spans="1:2">
      <c r="A61" s="5" t="s">
        <v>165</v>
      </c>
      <c r="B61" s="5">
        <v>249.5</v>
      </c>
    </row>
    <row r="62" spans="1:2">
      <c r="A62" s="4"/>
      <c r="B62" s="4"/>
    </row>
    <row r="63" spans="1:2">
      <c r="A63" s="4"/>
      <c r="B63" s="4"/>
    </row>
    <row r="64" spans="1:2">
      <c r="A64" s="4"/>
      <c r="B64" s="4"/>
    </row>
    <row r="65" spans="1:2">
      <c r="A65" s="4"/>
      <c r="B65" s="4"/>
    </row>
    <row r="66" spans="1:2">
      <c r="A66" s="4"/>
      <c r="B66" s="4"/>
    </row>
    <row r="67" spans="1:2">
      <c r="A67" s="4"/>
      <c r="B67" s="4"/>
    </row>
    <row r="68" spans="1:2">
      <c r="A68" s="4"/>
      <c r="B68" s="4"/>
    </row>
    <row r="69" spans="1:2">
      <c r="A69" s="4"/>
      <c r="B69" s="4"/>
    </row>
    <row r="70" spans="1:2">
      <c r="A70" s="4"/>
      <c r="B70" s="4"/>
    </row>
    <row r="71" spans="1:2">
      <c r="A71" s="4"/>
      <c r="B71" s="4"/>
    </row>
    <row r="72" spans="1:2">
      <c r="A72" s="4"/>
      <c r="B72" s="4"/>
    </row>
    <row r="73" spans="1:2">
      <c r="A73" s="4"/>
      <c r="B73" s="4"/>
    </row>
    <row r="74" spans="1:2">
      <c r="A74" s="6"/>
      <c r="B74" s="6"/>
    </row>
    <row r="75" spans="1:2">
      <c r="A75" s="4"/>
      <c r="B75" s="4"/>
    </row>
    <row r="76" spans="1:2">
      <c r="A76" s="4"/>
      <c r="B76" s="4"/>
    </row>
    <row r="77" spans="1:2">
      <c r="A77" s="4"/>
      <c r="B77" s="4"/>
    </row>
    <row r="78" spans="1:2">
      <c r="A78" s="4"/>
      <c r="B78" s="4"/>
    </row>
    <row r="79" spans="1:2">
      <c r="A79" s="4"/>
      <c r="B79" s="4"/>
    </row>
    <row r="80" spans="1:2">
      <c r="A80" s="4"/>
      <c r="B80" s="4"/>
    </row>
    <row r="81" spans="1:2">
      <c r="A81" s="4"/>
      <c r="B81" s="4"/>
    </row>
    <row r="82" spans="1:2">
      <c r="A82" s="4"/>
      <c r="B82" s="4"/>
    </row>
    <row r="83" spans="1:2">
      <c r="A83" s="4"/>
      <c r="B83" s="4"/>
    </row>
    <row r="84" spans="1:2">
      <c r="A84" s="4"/>
      <c r="B84" s="4"/>
    </row>
    <row r="85" spans="1:2">
      <c r="A85" s="5"/>
      <c r="B85" s="4"/>
    </row>
    <row r="86" spans="1:2">
      <c r="A86" s="4"/>
      <c r="B86" s="4"/>
    </row>
    <row r="87" spans="1:2">
      <c r="A87" s="4"/>
      <c r="B87" s="4"/>
    </row>
    <row r="88" spans="1:2">
      <c r="A88" s="4"/>
      <c r="B88" s="4"/>
    </row>
    <row r="89" spans="1:2">
      <c r="A89" s="4"/>
      <c r="B89" s="4"/>
    </row>
    <row r="90" spans="1:2">
      <c r="A90" s="4"/>
      <c r="B90" s="4"/>
    </row>
    <row r="91" spans="1:2">
      <c r="A91" s="4"/>
      <c r="B91" s="4"/>
    </row>
    <row r="92" spans="1:2">
      <c r="A92" s="4"/>
      <c r="B92" s="4"/>
    </row>
    <row r="93" spans="1:2">
      <c r="A93" s="4"/>
      <c r="B93" s="4"/>
    </row>
    <row r="94" spans="1:2">
      <c r="A94" s="4"/>
      <c r="B94" s="4"/>
    </row>
    <row r="95" spans="1:2">
      <c r="A95" s="4"/>
      <c r="B95" s="4"/>
    </row>
    <row r="96" spans="1:2">
      <c r="A96" s="4"/>
      <c r="B96" s="4"/>
    </row>
    <row r="97" spans="1:2">
      <c r="A97" s="4"/>
      <c r="B97" s="4"/>
    </row>
    <row r="98" spans="1:2">
      <c r="A98" s="6"/>
      <c r="B98" s="6"/>
    </row>
    <row r="99" spans="1:2">
      <c r="A99" s="4"/>
      <c r="B99" s="4"/>
    </row>
    <row r="100" spans="1:2">
      <c r="A100" s="4"/>
      <c r="B100" s="4"/>
    </row>
    <row r="101" spans="1:2">
      <c r="A101" s="4"/>
      <c r="B101" s="4"/>
    </row>
    <row r="102" spans="1:2">
      <c r="A102" s="4"/>
      <c r="B102" s="4"/>
    </row>
    <row r="103" spans="1:2">
      <c r="A103" s="4"/>
      <c r="B103" s="4"/>
    </row>
    <row r="104" spans="1:2">
      <c r="A104" s="4"/>
      <c r="B104" s="4"/>
    </row>
    <row r="105" spans="1:2">
      <c r="A105" s="4"/>
      <c r="B105" s="4"/>
    </row>
    <row r="106" spans="1:2">
      <c r="A106" s="4"/>
      <c r="B106" s="4"/>
    </row>
    <row r="107" spans="1:2">
      <c r="A107" s="4"/>
      <c r="B107" s="4"/>
    </row>
    <row r="108" spans="1:2">
      <c r="A108" s="4"/>
      <c r="B108" s="4"/>
    </row>
    <row r="109" spans="1:2">
      <c r="A109" s="5"/>
      <c r="B109" s="4"/>
    </row>
    <row r="110" spans="1:2">
      <c r="A110" s="4"/>
      <c r="B110" s="4"/>
    </row>
    <row r="111" spans="1:2">
      <c r="A111" s="4"/>
      <c r="B111" s="4"/>
    </row>
    <row r="112" spans="1:2">
      <c r="A112" s="4"/>
      <c r="B112" s="4"/>
    </row>
    <row r="113" spans="1:2">
      <c r="A113" s="4"/>
      <c r="B113" s="4"/>
    </row>
    <row r="114" spans="1:2">
      <c r="A114" s="4"/>
      <c r="B114" s="4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spans="1:2">
      <c r="A118" s="4"/>
      <c r="B118" s="4"/>
    </row>
    <row r="119" spans="1:2">
      <c r="A119" s="4"/>
      <c r="B119" s="4"/>
    </row>
    <row r="120" spans="1:2">
      <c r="A120" s="4"/>
      <c r="B120" s="4"/>
    </row>
    <row r="121" spans="1:2">
      <c r="A121" s="4"/>
      <c r="B121" s="4"/>
    </row>
    <row r="122" spans="1:2">
      <c r="A122" s="4"/>
      <c r="B122" s="4"/>
    </row>
    <row r="123" spans="1:2">
      <c r="A123" s="4"/>
      <c r="B123" s="4"/>
    </row>
    <row r="124" spans="1:2">
      <c r="A124" s="4"/>
      <c r="B124" s="4"/>
    </row>
    <row r="125" spans="1:2">
      <c r="A125" s="4"/>
      <c r="B125" s="4"/>
    </row>
    <row r="126" spans="1:2">
      <c r="A126" s="4"/>
      <c r="B126" s="4"/>
    </row>
    <row r="127" spans="1:2">
      <c r="A127" s="4"/>
      <c r="B127" s="4"/>
    </row>
    <row r="128" spans="1:2">
      <c r="A128" s="4"/>
      <c r="B128" s="4"/>
    </row>
    <row r="129" spans="1:2">
      <c r="A129" s="4"/>
      <c r="B129" s="4"/>
    </row>
    <row r="130" spans="1:2">
      <c r="A130" s="4"/>
      <c r="B130" s="4"/>
    </row>
    <row r="131" spans="1:2">
      <c r="A131" s="4"/>
      <c r="B131" s="4"/>
    </row>
    <row r="132" spans="1:2">
      <c r="A132" s="4"/>
      <c r="B132" s="4"/>
    </row>
    <row r="133" spans="1:2">
      <c r="A133" s="5"/>
      <c r="B133" s="4"/>
    </row>
    <row r="134" spans="1:2">
      <c r="A134" s="4"/>
      <c r="B134" s="4"/>
    </row>
    <row r="135" spans="1:2">
      <c r="A135" s="4"/>
      <c r="B135" s="4"/>
    </row>
    <row r="136" spans="1:2">
      <c r="A136" s="4"/>
      <c r="B136" s="4"/>
    </row>
    <row r="137" spans="1:2">
      <c r="A137" s="4"/>
      <c r="B137" s="4"/>
    </row>
    <row r="138" spans="1:2">
      <c r="A138" s="4"/>
      <c r="B138" s="4"/>
    </row>
    <row r="139" spans="1:2">
      <c r="A139" s="4"/>
      <c r="B139" s="4"/>
    </row>
    <row r="140" spans="1:2">
      <c r="A140" s="4"/>
      <c r="B140" s="4"/>
    </row>
    <row r="141" spans="1:2">
      <c r="A141" s="4"/>
      <c r="B141" s="4"/>
    </row>
    <row r="142" spans="1:2">
      <c r="A142" s="4"/>
      <c r="B142" s="4"/>
    </row>
    <row r="143" spans="1:2">
      <c r="A143" s="4"/>
      <c r="B143" s="4"/>
    </row>
    <row r="144" spans="1:2">
      <c r="A144" s="4"/>
      <c r="B144" s="4"/>
    </row>
    <row r="145" spans="1:2">
      <c r="A145" s="4"/>
      <c r="B145" s="4"/>
    </row>
    <row r="146" spans="1:2">
      <c r="A146" s="4"/>
      <c r="B146" s="4"/>
    </row>
    <row r="147" spans="1:2">
      <c r="A147" s="4"/>
      <c r="B147" s="4"/>
    </row>
    <row r="148" spans="1:2">
      <c r="A148" s="4"/>
      <c r="B148" s="4"/>
    </row>
    <row r="149" spans="1:2">
      <c r="A149" s="4"/>
      <c r="B149" s="4"/>
    </row>
    <row r="150" spans="1:2">
      <c r="A150" s="4"/>
      <c r="B150" s="4"/>
    </row>
    <row r="151" spans="1:2">
      <c r="A151" s="4"/>
      <c r="B151" s="4"/>
    </row>
    <row r="152" spans="1:2">
      <c r="A152" s="4"/>
      <c r="B152" s="4"/>
    </row>
    <row r="153" spans="1:2">
      <c r="A153" s="4"/>
      <c r="B153" s="4"/>
    </row>
    <row r="154" spans="1:2">
      <c r="A154" s="4"/>
      <c r="B154" s="4"/>
    </row>
    <row r="155" spans="1:2">
      <c r="A155" s="4"/>
      <c r="B155" s="4"/>
    </row>
    <row r="156" spans="1:2">
      <c r="A156" s="4"/>
      <c r="B156" s="4"/>
    </row>
    <row r="157" spans="1:2">
      <c r="A157" s="5"/>
      <c r="B157" s="4"/>
    </row>
    <row r="158" spans="1:2">
      <c r="A158" s="4"/>
      <c r="B158" s="4"/>
    </row>
    <row r="159" spans="1:2">
      <c r="A159" s="4"/>
      <c r="B159" s="4"/>
    </row>
    <row r="160" spans="1:2">
      <c r="A160" s="4"/>
      <c r="B160" s="4"/>
    </row>
    <row r="161" spans="1:2">
      <c r="A161" s="4"/>
      <c r="B161" s="4"/>
    </row>
    <row r="162" spans="1:2">
      <c r="A162" s="4"/>
      <c r="B162" s="4"/>
    </row>
    <row r="163" spans="1:2">
      <c r="A163" s="4"/>
      <c r="B163" s="4"/>
    </row>
    <row r="164" spans="1:2">
      <c r="A164" s="4"/>
      <c r="B164" s="4"/>
    </row>
    <row r="165" spans="1:2">
      <c r="A165" s="4"/>
      <c r="B165" s="4"/>
    </row>
    <row r="166" spans="1:2">
      <c r="A166" s="4"/>
      <c r="B166" s="4"/>
    </row>
    <row r="167" spans="1:2">
      <c r="A167" s="4"/>
      <c r="B167" s="4"/>
    </row>
    <row r="168" spans="1:2">
      <c r="A168" s="4"/>
      <c r="B168" s="4"/>
    </row>
    <row r="169" spans="1:2">
      <c r="A169" s="4"/>
      <c r="B169" s="4"/>
    </row>
    <row r="170" spans="1:2">
      <c r="A170" s="4"/>
      <c r="B170" s="4"/>
    </row>
    <row r="171" spans="1:2">
      <c r="A171" s="4"/>
      <c r="B171" s="4"/>
    </row>
    <row r="172" spans="1:2">
      <c r="A172" s="4"/>
      <c r="B172" s="4"/>
    </row>
    <row r="173" spans="1:2">
      <c r="A173" s="4"/>
      <c r="B173" s="4"/>
    </row>
    <row r="174" spans="1:2">
      <c r="A174" s="4"/>
      <c r="B174" s="4"/>
    </row>
    <row r="175" spans="1:2">
      <c r="A175" s="4"/>
      <c r="B175" s="4"/>
    </row>
    <row r="176" spans="1:2">
      <c r="A176" s="4"/>
      <c r="B176" s="4"/>
    </row>
    <row r="177" spans="1:2">
      <c r="A177" s="4"/>
      <c r="B177" s="4"/>
    </row>
    <row r="178" spans="1:2">
      <c r="A178" s="4"/>
      <c r="B178" s="4"/>
    </row>
    <row r="179" spans="1:2">
      <c r="A179" s="4"/>
      <c r="B179" s="4"/>
    </row>
    <row r="180" spans="1:2">
      <c r="A180" s="4"/>
      <c r="B180" s="4"/>
    </row>
    <row r="181" spans="1:2">
      <c r="A181" s="5"/>
      <c r="B18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0EE81-F81B-704F-9093-32D04E90EDC7}">
  <dimension ref="A1:I58"/>
  <sheetViews>
    <sheetView topLeftCell="A15" workbookViewId="0">
      <selection activeCell="B53" sqref="B53"/>
    </sheetView>
  </sheetViews>
  <sheetFormatPr defaultColWidth="11" defaultRowHeight="15.95"/>
  <cols>
    <col min="1" max="1" width="18.125" bestFit="1" customWidth="1"/>
  </cols>
  <sheetData>
    <row r="1" spans="1:9">
      <c r="A1" s="1" t="s">
        <v>166</v>
      </c>
      <c r="B1" s="1" t="s">
        <v>167</v>
      </c>
      <c r="C1" s="1" t="s">
        <v>168</v>
      </c>
      <c r="D1" s="1" t="s">
        <v>169</v>
      </c>
    </row>
    <row r="2" spans="1:9">
      <c r="A2" t="s">
        <v>170</v>
      </c>
      <c r="B2">
        <v>250</v>
      </c>
      <c r="C2">
        <v>0</v>
      </c>
      <c r="D2" t="s">
        <v>171</v>
      </c>
    </row>
    <row r="3" spans="1:9">
      <c r="A3" t="s">
        <v>172</v>
      </c>
      <c r="B3">
        <f>_xlfn.XLOOKUP(RIGHT(LEFT(A3,LEN(A3)-1),LEN(A3)-2),All!A:A,All!B:B,"")</f>
        <v>246.7</v>
      </c>
      <c r="C3">
        <v>0</v>
      </c>
      <c r="D3" t="s">
        <v>171</v>
      </c>
    </row>
    <row r="4" spans="1:9">
      <c r="A4" t="s">
        <v>173</v>
      </c>
      <c r="B4">
        <f>_xlfn.XLOOKUP(RIGHT(LEFT(A4,LEN(A4)-1),LEN(A4)-2),All!A:A,All!B:B,"")</f>
        <v>244.6</v>
      </c>
      <c r="C4">
        <v>0</v>
      </c>
      <c r="D4" t="s">
        <v>171</v>
      </c>
    </row>
    <row r="5" spans="1:9">
      <c r="A5" t="s">
        <v>174</v>
      </c>
      <c r="B5">
        <f>_xlfn.XLOOKUP(RIGHT(LEFT(A5,LEN(A5)-1),LEN(A5)-2),All!A:A,All!B:B,"")</f>
        <v>249.2</v>
      </c>
      <c r="C5">
        <v>0</v>
      </c>
      <c r="D5" t="s">
        <v>171</v>
      </c>
      <c r="G5" s="1"/>
      <c r="H5" s="1"/>
    </row>
    <row r="6" spans="1:9">
      <c r="A6" t="s">
        <v>175</v>
      </c>
      <c r="B6">
        <f>_xlfn.XLOOKUP(RIGHT(LEFT(A6,LEN(A6)-1),LEN(A6)-2),All!A:A,All!B:B,"")</f>
        <v>249.1</v>
      </c>
      <c r="C6">
        <v>0</v>
      </c>
      <c r="D6" t="s">
        <v>171</v>
      </c>
      <c r="H6" s="1"/>
      <c r="I6" s="1"/>
    </row>
    <row r="7" spans="1:9">
      <c r="A7" t="s">
        <v>176</v>
      </c>
      <c r="B7">
        <f>_xlfn.XLOOKUP(RIGHT(LEFT(A7,LEN(A7)-1),LEN(A7)-2),All!A:A,All!B:B,"")</f>
        <v>242.3</v>
      </c>
      <c r="C7">
        <v>0</v>
      </c>
      <c r="D7" t="s">
        <v>171</v>
      </c>
    </row>
    <row r="8" spans="1:9">
      <c r="A8" t="s">
        <v>177</v>
      </c>
      <c r="B8">
        <f>_xlfn.XLOOKUP(RIGHT(LEFT(A8,LEN(A8)-1),LEN(A8)-2),All!A:A,All!B:B,"")</f>
        <v>251.6</v>
      </c>
      <c r="C8">
        <v>0</v>
      </c>
      <c r="D8" t="s">
        <v>171</v>
      </c>
    </row>
    <row r="9" spans="1:9">
      <c r="A9" t="s">
        <v>178</v>
      </c>
      <c r="B9">
        <f>_xlfn.XLOOKUP(RIGHT(LEFT(A9,LEN(A9)-1),LEN(A9)-2),All!A:A,All!B:B,"")</f>
        <v>235.6</v>
      </c>
      <c r="C9">
        <v>0</v>
      </c>
      <c r="D9" t="s">
        <v>171</v>
      </c>
    </row>
    <row r="10" spans="1:9">
      <c r="A10" t="s">
        <v>179</v>
      </c>
      <c r="B10">
        <f>_xlfn.XLOOKUP(RIGHT(LEFT(A10,LEN(A10)-1),LEN(A10)-2),All!A:A,All!B:B,"")</f>
        <v>254.2</v>
      </c>
      <c r="C10">
        <v>0</v>
      </c>
      <c r="D10" t="s">
        <v>171</v>
      </c>
    </row>
    <row r="11" spans="1:9">
      <c r="A11" t="s">
        <v>180</v>
      </c>
      <c r="B11">
        <f>_xlfn.XLOOKUP(RIGHT(LEFT(A11,LEN(A11)-1),LEN(A11)-2),All!A:A,All!B:B,"")</f>
        <v>231.9</v>
      </c>
      <c r="C11">
        <v>0</v>
      </c>
      <c r="D11" t="s">
        <v>171</v>
      </c>
    </row>
    <row r="12" spans="1:9">
      <c r="A12" t="s">
        <v>181</v>
      </c>
      <c r="B12">
        <f>_xlfn.XLOOKUP(RIGHT(LEFT(A12,LEN(A12)-1),LEN(A12)-2),All!A:A,All!B:B,"")</f>
        <v>259.39999999999998</v>
      </c>
      <c r="C12">
        <v>0</v>
      </c>
      <c r="D12" t="s">
        <v>171</v>
      </c>
    </row>
    <row r="13" spans="1:9">
      <c r="A13" t="s">
        <v>182</v>
      </c>
      <c r="B13">
        <f>_xlfn.XLOOKUP(RIGHT(LEFT(A13,LEN(A13)-1),LEN(A13)-2),All!A:A,All!B:B,"")</f>
        <v>248.5</v>
      </c>
      <c r="C13">
        <v>0</v>
      </c>
      <c r="D13" t="s">
        <v>171</v>
      </c>
      <c r="F13" s="1"/>
      <c r="G13" s="1"/>
    </row>
    <row r="14" spans="1:9">
      <c r="A14" t="s">
        <v>183</v>
      </c>
      <c r="B14">
        <f>_xlfn.XLOOKUP(RIGHT(LEFT(A14,LEN(A14)-1),LEN(A14)-2),All!A:A,All!B:B,"")</f>
        <v>250.4</v>
      </c>
      <c r="C14">
        <v>0</v>
      </c>
      <c r="D14" t="s">
        <v>171</v>
      </c>
      <c r="F14" s="1"/>
      <c r="G14" s="1"/>
    </row>
    <row r="15" spans="1:9">
      <c r="A15" t="s">
        <v>184</v>
      </c>
      <c r="B15">
        <f>_xlfn.XLOOKUP(RIGHT(LEFT(A15,LEN(A15)-1),LEN(A15)-2),All!A:A,All!B:B,"")</f>
        <v>233.2</v>
      </c>
      <c r="C15">
        <v>0</v>
      </c>
      <c r="D15" t="s">
        <v>171</v>
      </c>
    </row>
    <row r="16" spans="1:9">
      <c r="A16" t="s">
        <v>185</v>
      </c>
      <c r="B16">
        <f>_xlfn.XLOOKUP(RIGHT(LEFT(A16,LEN(A16)-1),LEN(A16)-2),All!A:A,All!B:B,"")</f>
        <v>246.5</v>
      </c>
      <c r="C16">
        <v>0</v>
      </c>
      <c r="D16" t="s">
        <v>171</v>
      </c>
      <c r="F16" s="1"/>
      <c r="G16" s="1"/>
    </row>
    <row r="17" spans="1:6">
      <c r="A17" t="s">
        <v>186</v>
      </c>
      <c r="B17">
        <f>_xlfn.XLOOKUP(RIGHT(LEFT(A17,LEN(A17)-1),LEN(A17)-2),All!A:A,All!B:B,"")</f>
        <v>252.2</v>
      </c>
      <c r="C17">
        <v>0</v>
      </c>
      <c r="D17" t="s">
        <v>171</v>
      </c>
    </row>
    <row r="18" spans="1:6">
      <c r="A18" t="s">
        <v>187</v>
      </c>
      <c r="B18">
        <f>_xlfn.XLOOKUP(RIGHT(LEFT(A18,LEN(A18)-1),LEN(A18)-2),All!A:A,All!B:B,"")</f>
        <v>253.1</v>
      </c>
      <c r="C18">
        <v>0</v>
      </c>
      <c r="D18" t="s">
        <v>171</v>
      </c>
    </row>
    <row r="19" spans="1:6">
      <c r="A19" t="s">
        <v>188</v>
      </c>
      <c r="B19">
        <f>_xlfn.XLOOKUP(RIGHT(LEFT(A19,LEN(A19)-1),LEN(A19)-2),All!A:A,All!B:B,"")</f>
        <v>255.4</v>
      </c>
      <c r="C19">
        <v>0</v>
      </c>
      <c r="D19" t="s">
        <v>171</v>
      </c>
    </row>
    <row r="20" spans="1:6">
      <c r="A20" t="s">
        <v>189</v>
      </c>
      <c r="B20">
        <f>_xlfn.XLOOKUP(RIGHT(LEFT(A20,LEN(A20)-1),LEN(A20)-2),All!A:A,All!B:B,"")</f>
        <v>255.1</v>
      </c>
      <c r="C20">
        <v>0</v>
      </c>
      <c r="D20" t="s">
        <v>171</v>
      </c>
    </row>
    <row r="21" spans="1:6">
      <c r="A21" t="s">
        <v>190</v>
      </c>
      <c r="B21">
        <f>_xlfn.XLOOKUP(RIGHT(LEFT(A21,LEN(A21)-1),LEN(A21)-2),All!A:A,All!B:B,"")</f>
        <v>256.5</v>
      </c>
      <c r="C21">
        <v>0</v>
      </c>
      <c r="D21" t="s">
        <v>171</v>
      </c>
    </row>
    <row r="22" spans="1:6">
      <c r="A22" t="s">
        <v>191</v>
      </c>
      <c r="B22">
        <f>_xlfn.XLOOKUP(RIGHT(LEFT(A22,LEN(A22)-1),LEN(A22)-2),All!A:A,All!B:B,"")</f>
        <v>252.1</v>
      </c>
      <c r="C22">
        <v>0</v>
      </c>
      <c r="D22" t="s">
        <v>171</v>
      </c>
    </row>
    <row r="23" spans="1:6">
      <c r="A23" t="s">
        <v>192</v>
      </c>
      <c r="B23">
        <f>_xlfn.XLOOKUP(RIGHT(LEFT(A23,LEN(A23)-1),LEN(A23)-2),All!A:A,All!B:B,"")</f>
        <v>229.2</v>
      </c>
      <c r="C23">
        <v>0</v>
      </c>
      <c r="D23" t="s">
        <v>171</v>
      </c>
    </row>
    <row r="24" spans="1:6">
      <c r="A24" t="s">
        <v>193</v>
      </c>
      <c r="B24">
        <f>_xlfn.XLOOKUP(RIGHT(LEFT(A24,LEN(A24)-1),LEN(A24)-2),All!A:A,All!B:B,"")</f>
        <v>250.7</v>
      </c>
      <c r="C24">
        <v>0</v>
      </c>
      <c r="D24" t="s">
        <v>171</v>
      </c>
    </row>
    <row r="25" spans="1:6">
      <c r="A25" t="s">
        <v>194</v>
      </c>
      <c r="B25">
        <f>_xlfn.XLOOKUP(RIGHT(LEFT(A25,LEN(A25)-1),LEN(A25)-2),All!A:A,All!B:B,"")</f>
        <v>256.60000000000002</v>
      </c>
      <c r="C25">
        <v>0</v>
      </c>
      <c r="D25" t="s">
        <v>171</v>
      </c>
    </row>
    <row r="26" spans="1:6">
      <c r="A26" t="s">
        <v>195</v>
      </c>
      <c r="B26">
        <f>_xlfn.XLOOKUP(RIGHT(LEFT(A26,LEN(A26)-1),LEN(A26)-2),All!A:A,All!B:B,"")</f>
        <v>250</v>
      </c>
      <c r="C26">
        <v>0</v>
      </c>
      <c r="D26" t="s">
        <v>171</v>
      </c>
    </row>
    <row r="27" spans="1:6">
      <c r="A27" t="s">
        <v>196</v>
      </c>
      <c r="B27">
        <f>_xlfn.XLOOKUP(RIGHT(LEFT(A27,LEN(A27)-1),LEN(A27)-2),All!A:A,All!B:B,"")</f>
        <v>240.6</v>
      </c>
      <c r="C27">
        <v>0</v>
      </c>
      <c r="D27" t="s">
        <v>171</v>
      </c>
    </row>
    <row r="28" spans="1:6">
      <c r="A28" t="s">
        <v>197</v>
      </c>
      <c r="B28">
        <f>_xlfn.XLOOKUP(RIGHT(LEFT(A28,LEN(A28)-1),LEN(A28)-2),All!A:A,All!B:B,"")</f>
        <v>254.2</v>
      </c>
      <c r="C28">
        <v>0</v>
      </c>
      <c r="D28" t="s">
        <v>171</v>
      </c>
      <c r="F28" s="1"/>
    </row>
    <row r="29" spans="1:6">
      <c r="A29" t="s">
        <v>198</v>
      </c>
      <c r="B29">
        <f>_xlfn.XLOOKUP(RIGHT(LEFT(A29,LEN(A29)-1),LEN(A29)-2),All!A:A,All!B:B,"")</f>
        <v>251.6</v>
      </c>
      <c r="C29">
        <v>0</v>
      </c>
      <c r="D29" t="s">
        <v>171</v>
      </c>
      <c r="F29" s="1"/>
    </row>
    <row r="30" spans="1:6">
      <c r="A30" t="s">
        <v>199</v>
      </c>
      <c r="B30">
        <f>_xlfn.XLOOKUP(RIGHT(LEFT(A30,LEN(A30)-1),LEN(A30)-2),All!A:A,All!B:B,"")</f>
        <v>249</v>
      </c>
      <c r="C30">
        <v>0</v>
      </c>
      <c r="D30" t="s">
        <v>171</v>
      </c>
      <c r="F30" s="1"/>
    </row>
    <row r="31" spans="1:6">
      <c r="A31" t="s">
        <v>200</v>
      </c>
      <c r="B31">
        <f>_xlfn.XLOOKUP(RIGHT(LEFT(A31,LEN(A31)-1),LEN(A31)-2),All!A:A,All!B:B,"")</f>
        <v>223</v>
      </c>
      <c r="C31">
        <v>0</v>
      </c>
      <c r="D31" t="s">
        <v>171</v>
      </c>
      <c r="F31" s="1"/>
    </row>
    <row r="32" spans="1:6">
      <c r="A32" t="s">
        <v>201</v>
      </c>
      <c r="B32">
        <f>_xlfn.XLOOKUP(RIGHT(LEFT(A32,LEN(A32)-1),LEN(A32)-2),All!A:A,All!B:B,"")</f>
        <v>236.8</v>
      </c>
      <c r="C32">
        <v>0</v>
      </c>
      <c r="D32" t="s">
        <v>171</v>
      </c>
      <c r="F32" s="1"/>
    </row>
    <row r="33" spans="1:6">
      <c r="A33" t="s">
        <v>202</v>
      </c>
      <c r="B33">
        <f>_xlfn.XLOOKUP(RIGHT(LEFT(A33,LEN(A33)-1),LEN(A33)-2),All!A:A,All!B:B,"")</f>
        <v>250.8</v>
      </c>
      <c r="C33">
        <v>0</v>
      </c>
      <c r="D33" t="s">
        <v>171</v>
      </c>
      <c r="F33" s="1"/>
    </row>
    <row r="34" spans="1:6">
      <c r="A34" t="s">
        <v>203</v>
      </c>
      <c r="B34">
        <f>_xlfn.XLOOKUP(RIGHT(LEFT(A34,LEN(A34)-1),LEN(A34)-2),All!A:A,All!B:B,"")</f>
        <v>243.3</v>
      </c>
      <c r="C34">
        <v>0</v>
      </c>
      <c r="D34" t="s">
        <v>171</v>
      </c>
    </row>
    <row r="35" spans="1:6">
      <c r="A35" t="s">
        <v>204</v>
      </c>
      <c r="B35">
        <f>_xlfn.XLOOKUP(RIGHT(LEFT(A35,LEN(A35)-1),LEN(A35)-2),All!A:A,All!B:B,"")</f>
        <v>245</v>
      </c>
      <c r="C35">
        <v>0</v>
      </c>
      <c r="D35" t="s">
        <v>171</v>
      </c>
    </row>
    <row r="36" spans="1:6">
      <c r="A36" t="s">
        <v>205</v>
      </c>
      <c r="B36">
        <f>_xlfn.XLOOKUP(RIGHT(LEFT(A36,LEN(A36)-1),LEN(A36)-2),All!A:A,All!B:B,"")</f>
        <v>206.6</v>
      </c>
      <c r="C36">
        <v>0</v>
      </c>
      <c r="D36" t="s">
        <v>171</v>
      </c>
    </row>
    <row r="37" spans="1:6">
      <c r="A37" t="s">
        <v>206</v>
      </c>
      <c r="B37">
        <f>_xlfn.XLOOKUP(RIGHT(LEFT(A37,LEN(A37)-1),LEN(A37)-2),All!A:A,All!B:B,"")</f>
        <v>232</v>
      </c>
      <c r="C37">
        <v>0</v>
      </c>
      <c r="D37" t="s">
        <v>171</v>
      </c>
    </row>
    <row r="38" spans="1:6">
      <c r="A38" t="s">
        <v>207</v>
      </c>
      <c r="B38">
        <f>_xlfn.XLOOKUP(RIGHT(LEFT(A38,LEN(A38)-1),LEN(A38)-2),All!A:A,All!B:B,"")</f>
        <v>243.5</v>
      </c>
      <c r="C38">
        <v>0</v>
      </c>
      <c r="D38" t="s">
        <v>171</v>
      </c>
    </row>
    <row r="39" spans="1:6">
      <c r="A39" t="s">
        <v>208</v>
      </c>
      <c r="B39">
        <f>_xlfn.XLOOKUP(RIGHT(LEFT(A39,LEN(A39)-1),LEN(A39)-2),All!A:A,All!B:B,"")</f>
        <v>238.3</v>
      </c>
      <c r="C39">
        <v>0</v>
      </c>
      <c r="D39" t="s">
        <v>171</v>
      </c>
    </row>
    <row r="40" spans="1:6">
      <c r="A40" t="s">
        <v>209</v>
      </c>
      <c r="B40">
        <f>_xlfn.XLOOKUP(RIGHT(LEFT(A40,LEN(A40)-1),LEN(A40)-2),All!A:A,All!B:B,"")</f>
        <v>224.2</v>
      </c>
      <c r="C40">
        <v>0</v>
      </c>
      <c r="D40" t="s">
        <v>171</v>
      </c>
    </row>
    <row r="41" spans="1:6">
      <c r="A41" t="s">
        <v>210</v>
      </c>
      <c r="B41">
        <f>_xlfn.XLOOKUP(RIGHT(LEFT(A41,LEN(A41)-1),LEN(A41)-2),All!A:A,All!B:B,"")</f>
        <v>246.4</v>
      </c>
      <c r="C41">
        <v>0</v>
      </c>
      <c r="D41" t="s">
        <v>171</v>
      </c>
    </row>
    <row r="42" spans="1:6">
      <c r="A42" t="s">
        <v>211</v>
      </c>
      <c r="B42">
        <f>_xlfn.XLOOKUP(RIGHT(LEFT(A42,LEN(A42)-1),LEN(A42)-2),All!A:A,All!B:B,"")</f>
        <v>248.8</v>
      </c>
      <c r="C42">
        <v>0</v>
      </c>
      <c r="D42" t="s">
        <v>171</v>
      </c>
    </row>
    <row r="43" spans="1:6">
      <c r="A43" t="s">
        <v>212</v>
      </c>
      <c r="B43">
        <f>_xlfn.XLOOKUP(RIGHT(LEFT(A43,LEN(A43)-1),LEN(A43)-2),All!A:A,All!B:B,"")</f>
        <v>247</v>
      </c>
      <c r="C43">
        <v>0</v>
      </c>
      <c r="D43" t="s">
        <v>171</v>
      </c>
    </row>
    <row r="44" spans="1:6">
      <c r="A44" t="s">
        <v>213</v>
      </c>
      <c r="B44">
        <f>_xlfn.XLOOKUP(RIGHT(LEFT(A44,LEN(A44)-1),LEN(A44)-2),All!A:A,All!B:B,"")</f>
        <v>231.7</v>
      </c>
      <c r="C44">
        <v>0</v>
      </c>
      <c r="D44" t="s">
        <v>171</v>
      </c>
    </row>
    <row r="45" spans="1:6">
      <c r="A45" t="s">
        <v>214</v>
      </c>
      <c r="B45">
        <f>_xlfn.XLOOKUP(RIGHT(LEFT(A45,LEN(A45)-1),LEN(A45)-2),All!A:A,All!B:B,"")</f>
        <v>246.8</v>
      </c>
      <c r="C45">
        <v>0</v>
      </c>
      <c r="D45" t="s">
        <v>171</v>
      </c>
    </row>
    <row r="46" spans="1:6">
      <c r="A46" t="s">
        <v>215</v>
      </c>
      <c r="B46">
        <f>_xlfn.XLOOKUP(RIGHT(LEFT(A46,LEN(A46)-1),LEN(A46)-2),All!A:A,All!B:B,"")</f>
        <v>228.3</v>
      </c>
      <c r="C46">
        <v>0</v>
      </c>
      <c r="D46" t="s">
        <v>171</v>
      </c>
    </row>
    <row r="47" spans="1:6">
      <c r="A47" t="s">
        <v>216</v>
      </c>
      <c r="B47">
        <f>_xlfn.XLOOKUP(RIGHT(LEFT(A47,LEN(A47)-1),LEN(A47)-2),All!A:A,All!B:B,"")</f>
        <v>245.2</v>
      </c>
      <c r="C47">
        <v>0</v>
      </c>
      <c r="D47" t="s">
        <v>171</v>
      </c>
    </row>
    <row r="48" spans="1:6">
      <c r="A48" t="s">
        <v>217</v>
      </c>
      <c r="B48">
        <f>_xlfn.XLOOKUP(RIGHT(LEFT(A48,LEN(A48)-1),LEN(A48)-2),All!A:A,All!B:B,"")</f>
        <v>243.7</v>
      </c>
      <c r="C48">
        <v>0</v>
      </c>
      <c r="D48" t="s">
        <v>171</v>
      </c>
    </row>
    <row r="49" spans="1:4">
      <c r="A49" t="s">
        <v>218</v>
      </c>
      <c r="B49">
        <f>_xlfn.XLOOKUP(RIGHT(LEFT(A49,LEN(A49)-1),LEN(A49)-2),All!A:A,All!B:B,"")</f>
        <v>232.2</v>
      </c>
      <c r="C49">
        <v>0</v>
      </c>
      <c r="D49" t="s">
        <v>171</v>
      </c>
    </row>
    <row r="50" spans="1:4">
      <c r="A50" t="s">
        <v>219</v>
      </c>
      <c r="B50" s="4">
        <v>231.4</v>
      </c>
      <c r="C50">
        <v>0</v>
      </c>
      <c r="D50" t="s">
        <v>171</v>
      </c>
    </row>
    <row r="51" spans="1:4">
      <c r="A51" t="s">
        <v>220</v>
      </c>
      <c r="B51">
        <f>_xlfn.XLOOKUP(RIGHT(LEFT(A51,LEN(A51)-1),LEN(A51)-2),All!A:A,All!B:B,"")</f>
        <v>229.4</v>
      </c>
      <c r="C51">
        <v>0</v>
      </c>
      <c r="D51" t="s">
        <v>171</v>
      </c>
    </row>
    <row r="52" spans="1:4">
      <c r="A52" t="s">
        <v>221</v>
      </c>
      <c r="B52">
        <f>_xlfn.XLOOKUP(RIGHT(LEFT(A52,LEN(A52)-1),LEN(A52)-2),All!A:A,All!B:B,"")</f>
        <v>235.4</v>
      </c>
      <c r="C52">
        <v>0</v>
      </c>
      <c r="D52" t="s">
        <v>171</v>
      </c>
    </row>
    <row r="53" spans="1:4">
      <c r="A53" t="s">
        <v>222</v>
      </c>
      <c r="B53" s="4">
        <v>243.3</v>
      </c>
      <c r="C53">
        <v>0</v>
      </c>
      <c r="D53" t="s">
        <v>171</v>
      </c>
    </row>
    <row r="54" spans="1:4">
      <c r="B54" s="1"/>
      <c r="C54" s="1"/>
    </row>
    <row r="55" spans="1:4">
      <c r="B55" s="1"/>
      <c r="C55" s="1"/>
    </row>
    <row r="56" spans="1:4">
      <c r="B56" s="1"/>
      <c r="C56" s="1"/>
    </row>
    <row r="57" spans="1:4">
      <c r="B57" s="1"/>
      <c r="C57" s="1"/>
    </row>
    <row r="58" spans="1:4">
      <c r="B58" s="1"/>
      <c r="C5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 Conrad Pritchard</dc:creator>
  <cp:keywords/>
  <dc:description/>
  <cp:lastModifiedBy>Sarah Balgooyen</cp:lastModifiedBy>
  <cp:revision/>
  <dcterms:created xsi:type="dcterms:W3CDTF">2023-03-31T16:27:58Z</dcterms:created>
  <dcterms:modified xsi:type="dcterms:W3CDTF">2026-01-13T04:44:50Z</dcterms:modified>
  <cp:category/>
  <cp:contentStatus/>
</cp:coreProperties>
</file>